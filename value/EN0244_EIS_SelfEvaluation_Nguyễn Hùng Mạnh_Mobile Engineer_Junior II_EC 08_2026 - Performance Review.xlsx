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mber Evaluations" state="visible" r:id="rId4"/>
    <sheet sheetId="2" name="Monthly Check-In" state="visible" r:id="rId5"/>
  </sheets>
  <calcPr calcId="171027"/>
</workbook>
</file>

<file path=xl/sharedStrings.xml><?xml version="1.0" encoding="utf-8"?>
<sst xmlns="http://schemas.openxmlformats.org/spreadsheetml/2006/main" count="326" uniqueCount="94">
  <si>
    <t>Member</t>
  </si>
  <si>
    <t>Team</t>
  </si>
  <si>
    <t>Evaluator</t>
  </si>
  <si>
    <t>Evaluation Period</t>
  </si>
  <si>
    <t>Event Deadline</t>
  </si>
  <si>
    <t>Status</t>
  </si>
  <si>
    <t>Self-Score</t>
  </si>
  <si>
    <t>Final Score</t>
  </si>
  <si>
    <t>Overall Rating</t>
  </si>
  <si>
    <t>Nguyễn Hùng Mạnh (EN0244)</t>
  </si>
  <si>
    <t>Mobile</t>
  </si>
  <si>
    <t>Nguyễn Thiện Vinh (EN0016)</t>
  </si>
  <si>
    <t>Success Metrics - Completed</t>
  </si>
  <si>
    <t>Description</t>
  </si>
  <si>
    <t>A junior developer can write code in one languages but he/ she is not really involved in the whole Software Development Lifecycle</t>
  </si>
  <si>
    <t>Responsibility</t>
  </si>
  <si>
    <t xml:space="preserve">- Follow and Apply the guidance
- Work under supervision and direction
- Need training and excessive quality control</t>
  </si>
  <si>
    <t>Part 1</t>
  </si>
  <si>
    <t>Technical</t>
  </si>
  <si>
    <t/>
  </si>
  <si>
    <t>Criteria</t>
  </si>
  <si>
    <t>Success Metrics</t>
  </si>
  <si>
    <t>Self Evaluation</t>
  </si>
  <si>
    <t>Commentor Evaluation</t>
  </si>
  <si>
    <t>Evaluator Evaluation</t>
  </si>
  <si>
    <t>Weight</t>
  </si>
  <si>
    <t>Commentor-Score</t>
  </si>
  <si>
    <t>Evaluator-Score</t>
  </si>
  <si>
    <t>Rating</t>
  </si>
  <si>
    <t>Programming Capability</t>
  </si>
  <si>
    <t xml:space="preserve">"- Have knowledge of fundamental programming concepts ( SOLID, DRY, KISS ) 
- Knowledge of Mobile Development: Understanding mobile development concepts like navigation, state management, and life cycle.Understanding of 
- RESTful APIs / GraphQL
- Can build any layout/ custom component ( medium ).
- Can implement and use third party library with Intermediate knowledge.
- Knowledge common feature for mobile development: Notification, DeepLink, Core Location, etc.
- Good understanding of How GIT works
React-native: 
- Proficiency in JavaScript. Additionally, familiarity with typescript may be beneficial as well.
- Familiarity with React: React Native uses React to build user interfaces, so you should have a good grasp of React concepts like components, state, and props. Can build layout/ custom component ( basic-medium ).
iOS:
- Proficiency in Swift, the primary programming language for iOS development, is essential. Additionally, familiarity with Objective-C may be beneficial as well. You should be comfortable with object-oriented programming concepts, data structures, and algorithms.
- Knowledge of Mobile Development: Understanding mobile development concepts like navigation, and life circle, etc...
- iOS Development Tools: Understanding of Xcode, Apple's integrated development environment (IDE) for iOS development, is crucial. You should be comfortable with using Xcode for coding, debugging, and testing iOS applications.
- Understanding of iOS Frameworks: Basic Knowledge of iOS frameworks like UIKit, Foundation, and concepts: View, View Controller, Storyboard, Delegate Pattern, AutoLayout, Networking, Asynchronous Programming. 
Android:
- Proficiency in Kotlin, the primary programing language for Android development, is essential. Additionally, familiarity with java may be beneficial as well. You should be comfortable with object-oriented programming concepts, data structures, and algorithms.
- Knowledge of Mobile Development: Understanding mobile development concepts like navigation, state management, and life cycle.
- Android Development Tools: Understanding of Android Studio, Google's integrated development environment (IDE) for Android development, is crucial. You should be comfortable with using Android Studio for coding, debugging, and testing iOS applications.
- Understanding of Android Frameworks: Basic Knowledge of Android SDK and concepts like Activity, Layouts, Views, Intents, Fragments, Activity Life circle, Networking, etc."</t>
  </si>
  <si>
    <t xml:space="preserve">Koitlin language:
+ Biến và kiểu dữ liệu: var, val, Int, String, Boolean, List, Map.
+ Cấu trúc điều kiện: if-else, when, for loop, while loop.
+ Hàm: Cách khai báo hàm, tham số, giá trị trả về, hàm.
+ Lớp và đối tượng: class, object, constructor, inheritance (kế thừa), interface.
+ Null Safety: cách xử lý null trong Kotlin, safe calls (?.), not-null assertions (!!).
+ Extension Functions: Cách mở rộng chức năng của lớp.
+ Array, List 
+ Exception Handling(try catch)
+ Standard Library Usage: Explore Kotlin's standard library functions that make coding easier, such as let, apply, run, also, takeIf, and takeUnless
Android: 
+ Hiểu biết sâu về các thành phần cơ bản của Android như  Activity, Layouts, Views, Intents, Fragments, Activity Life circle, Networking, etc..
+ Hiểu được luồng làm việc của acitvity, fragment, model và flow theo chuẩn của android .
+ Hiểu và apply navigation.
+ Hiểu và apply binding.
+ Hiểu cách Custom View, Sub List funtion.
+ Hiểu Gradle android
+ Google service, firebase service.
+ Hiểu về Coroutine + RX.
+ Hiểu và có thể implement third library ( cách implement third party module)
+ Hiểu về storage: internal storage, external storage, database is plus point
+ Nắm cơ bản về canvas (Nó ứng dụng mạnh mẽ cho tất cả các view khó, Nếu thành thạo có thể xử lí hầu hết tất cả các view yêu cầu)
+ Nắm cơ bản được cách dùng  services của Android(bluetooth, wifi, permisions, phone call, sms, micro..)
+ Hiểu và  implement call rest api với Retrofit
+ Hiểu và implement  call graphql với Apollo Graphql.
+ Tạo  UI  theo yêu cầu bằng XML hoặc Compose.
+ Hiểu và có thể implement lib: Notification, deeplink, core location, file access.
+ Backstack của activity, fragment (add, replace fragment).
+ Code xml (sử dụng linearlayout, relative layout, constrainlayout) và custom view.
+ Hiểu life circle của app Android  life circle component, app state, app life circle.
+ Handle bất đồng bộ bằng Coroutine library
+ Nắm vững và có thể sử dụng hiểu quả các local storage như là Room, SharedPreferences.
+ Rèn luyện tư duy của mình cho có  hệ thống(system thinking)</t>
  </si>
  <si>
    <t>Quality of Code</t>
  </si>
  <si>
    <t xml:space="preserve">"- Ensure their code following guidance, conding conventions ( functionality, readability and maintainability, efficiency and optimization, reusability and edge cases, with errors in mind )
    ex: 
      + Functionality:
            - Does the code achieve its intended purpose?  Test the functionality thoroughly to identify bugs or areas where the code might not behave as expected under certain conditions.
            - Edge Cases:  Are there edge cases or unexpected inputs that could cause the code to break?  Junior developers might miss these, so consider including some in your evaluation.
            - Does the UI match the mockups or design specs? Ensure the visual elements (layout, colors, fonts) align with the intended design.
            - Interactive elements: Do buttons, forms, and other interactive elements function correctly and provide the expected user experience? Test these elements thoroughly across different browsers and devices.
            - Responsiveness: Does the website adapt appropriately to different screen sizes (desktop, tablet, mobile)? Responsive design is crucial for modern web development.
      + Readability and Maintainability:
            - Clarity and Structure:  Is the code well-formatted, indented, and easy to read? Does it follow consistent naming conventions?  Clean code is easier to understand, maintain, and modify in the future, even by someone unfamiliar with the codebase.
            - Meaningful Variable and Function Names: Are variable and function names descriptive and reflect their purpose? This improves readability and makes the code more self-documenting.
            - Comments: Are comments used effectively to explain complex logic or non-obvious parts of the code?  Comments should clarify the code's intent, not simply repeat what the code does.
      + Efficiency and Optimization:
            - Are there opportunities to improve the code's performance?  While optimization might not be the top priority for junior developers, consider if there are glaring inefficiencies that could be addressed.
            - Resource Usage: Does the code use memory and processing power efficiently?  This might not be a major concern for simple applications, but it's good practice to be mindful of resource usage.
      + Reference source for checking conventions
           - 80% follow project team/ functional team coding conventions
           - Practical usage of tools/techniques for improving code quality ( eslint, sonarlint, .. )
           - Having good understanding of technical's domain good practices/ techniques on improving code quality
- Proactively ask for help/peer review from other more senior developers within project team or functional team
- 70% code should be reviewed by other senior member to ensure quality
Focus point
- Focus on growth: The goal is to identify areas where the junior developer can improve their skills. Provide constructive feedback and suggest resources (online tutorials, documentation) to help them learn.
- Potential over perfection: Don't expect perfectly optimized code. Look for a foundational understanding of best practices and a willingness to learn.
- Communication is key: Discuss the code with other developers as much as possible. This can reveal their thought process, problem-solving approach, and areas where they might need clarification.</t>
  </si>
  <si>
    <t xml:space="preserve">+ Follow 100% coding convertion.
+ Code function đúng mục đích , dễ đọc dễ hiểu, có thể mở rộng, maintain.
+ Viết function rõ ràng, có description đầy đủ.
+ Tạo MR có đầy đủ thông tin của task liên quan.
+ Code không được lặp đi lặp lại một vấn đề mà đã được góp ý trước đó. Phải ghi chép để tránh gặp vấn đề tương tự.</t>
  </si>
  <si>
    <t>Testing</t>
  </si>
  <si>
    <t xml:space="preserve">"Knows the testing pyramid and how to writes unit tests, sometimes with help from more senior engineers.
 Do their self-test carefully before request to merge to make sure
 - All requirements fulfilled
 - Coding convention followed"</t>
  </si>
  <si>
    <t xml:space="preserve">- Những yêu cầu của tasks đều được testing trên emulator hoặc real devices. 
- Đảm bảo các tasks đều đủ yêu cầu. 
- Thực hiện thao tác automation test với appium, test UI chạy trực tiếp trên máy ảo để test theo id.
 - Compare behavior giữa các nền tảng iOS, Android và Web khi làm cùng một luồng logic, bussines để cho đồng bộ.</t>
  </si>
  <si>
    <t>Debuging</t>
  </si>
  <si>
    <t xml:space="preserve">"Understands the basics of debugging and the tools used for it, sometimes with help from more seinor engineers in following criteria
- Identifying Errors: Pinpoint the root cause of errors effectively,  involves understanding error messages, using developer tools, and replicating the issue consistently.
- Debugging Techniques:  Utilize a systematic approach to debugging (e.g., using console logs, breakpoints, debugging tools: Flipper, Xcode, AndroidStudio, etc ). Try to demonstrate thought process and can break down the problem logically.
- Basic Knowledge of Common Issues:  Familiar with common mobile development errors (e.g., code errors, style issues). While they might not have encountered every issue, a basic understanding demonstrates their learning and troubleshooting skills.
- Logical Thinking: Can explain thought process and the steps taken to debug the issue. Look for a logical approach that involves isolating the problem, testing hypotheses, and refining solutions.
- Resourcefulness: Know how to find resources to help them debug (e.g., online documentation, Stack Overflow) and having ability to effectively search for solutions is a valuable debugging skill.
- Adaptability: Can adjust their approach if initial solutions don't work. Debugging is iterative, so see if they can learn from their mistakes and try different strategies.
- Asking Clarifying Questions: Do ask relevant questions to understand the symptoms and context of the bug?  Effective communication is key to diagnosing issues accurately.
- Collaboration: Can explain the bug and their debugging process to others (even if they haven't solved it yet). This demonstrates their understanding of the problem and their ability to collaborate on solutions.
- Willingness to Learn:  Are they open to suggestions and feedback during the debugging process?  Look for a growth mindset and a desire to learn from more experienced developers."</t>
  </si>
  <si>
    <t xml:space="preserve">- Xác định được lỗi xảy ra ở đâu. 
- Sử dụng các tool hỗ trợ debug. 
- Biết được Những lỗi thường gặp. 
- Phán đoán được bug xảy ra ở đâu, file nào.</t>
  </si>
  <si>
    <t>Code Understanding, Review and Documentation</t>
  </si>
  <si>
    <t xml:space="preserve">"Is able to read and understand the codes and its basic context within team's domain with help from more senior engineers.
Proactively take part in contributing to project team's technical documentation with review from higher level member or cross-service member within their team ( eg: QA member, Leader, .. )
- Business documentation 
- Feature tutorials"</t>
  </si>
  <si>
    <t xml:space="preserve">- Nắm được cấu trúc thư mục, các module được sử dụng trong ứng dụng.
 - Có thể hiểu code của các thành viên khác trong dự án.
 - Có thử chủ động viết document(readme, mô tả các dùng tính năng) 
 - Tự setup cấu trúc thư mục cho dự án demo
 - Nắm được các luồng bussines, luồng xử lý quan trọng của ứng dụng, web.</t>
  </si>
  <si>
    <t>Software Architecture</t>
  </si>
  <si>
    <t xml:space="preserve">"- Is aware of overall service architecture. 
- Designs basic functions with an awareness of overall service architecture, avoiding duplication across codebases and interface-breaking changes."</t>
  </si>
  <si>
    <t xml:space="preserve">- Viết function rõ ràng, ngắn gọn, dễ maintain và tái sử dụng 
- Không lặp code 
- Tuân thủ design parttern của source code.</t>
  </si>
  <si>
    <t>Security</t>
  </si>
  <si>
    <t xml:space="preserve">"Understands the importance of security:
- Avoid sharing source code on public platforms like GitHub to prevent unauthorized access by individuals or entities outside the project team.
- Safeguard application keys or sensitive information such as API keys, database credentials, or encryption keys to prevent potential exploitation or misuse by unauthorized users."</t>
  </si>
  <si>
    <t xml:space="preserve">- Đối với Công ty: Luôn tuân thủ quy tắc Security công ty
 - Đối với dự án:   
 + Tuân thủ nguyên tắc bảo mật dự án không để leak thông tin dự án của khách hàng  
 + Đề xuất các thư viện và công cụ an toàn: Sử dụng các thư viện phổ biến và được bảo trì tốt cho các dự án của bạn.  
 + Thường xuyên cập nhật các module: Thường xuyên cập nhật lên các phiên bản mới nhất để khắc phục mọi sự cố bảo mật đã biết. 
 + Bảo vệ mã nguồn: tránh chia sẻ ra public repo hoặc thành viên không thuộc dự án.  
 + Bảo vệ thông tin nhạy cảm: Không được hardcode các data nhạy cảm trong source code   
 + Lưu trữ an toàn:  Các thông tin nhạy cảm nếu lưu xuống local phải được mã hóa, không được sử dụng AsyncStorage cho dữ liệu nhạy cảm vì nó không được mã hóa.   
 + Review code cẩn thận: Luôn kiểm tra các vấn đề bảo mật thường gặp trong quá trình review code, nếu phát hiện các issue liên quan đến bảo mật và report cho team thì sẽ là điểm cộng</t>
  </si>
  <si>
    <t>Part 2</t>
  </si>
  <si>
    <t>Delivery</t>
  </si>
  <si>
    <t>Business Context Understanding</t>
  </si>
  <si>
    <t xml:space="preserve">"Have basic understanding of business problems and situations
- Overall business of the application
- Know what issue that the application is trying to resolve
Analyze their module/feature/task business requirement with &gt; 80% thorough understanding and need help from more senior member on what and how to achieve the requirement"</t>
  </si>
  <si>
    <t xml:space="preserve">- Hiểu rõ được những tasks mình đang làm. 
- Hiểu trên (80%) yêu cầu của khách hàng để đem ra cách giải quyết code.</t>
  </si>
  <si>
    <t>Task Breakdown, Prioritisation, dependencies</t>
  </si>
  <si>
    <t xml:space="preserve">"- Know value of right sizing tasks to enable continuous integration and incremental delivery.
- Know the task prioritisation and act accordingly. 
- Understands dependencies and note them together with other task prioritization"</t>
  </si>
  <si>
    <t xml:space="preserve">+ Xác định được các nhiệm vụ nào ưu tiên hơn để triển khai trước, bên cạnh đó cũng sắp xếp thời gian phù hợp để triển khai các nhiệm có độ ưu tiên thấp hợp.
+ Chủ động cập nhập trạng thái của task ( Jira ).
+ Chủ động báo cáo với Client, PM, EM các issue Liên quan đến độ ưu tiên của task để Đảm bảo hoàn thành đúng thời gian.</t>
  </si>
  <si>
    <t>Reliability, delivery accountability</t>
  </si>
  <si>
    <t xml:space="preserve">"- Has daily conversation with the team about the progress of their work. 
- Delivers on commitments with a sense of urgency."</t>
  </si>
  <si>
    <t xml:space="preserve">+ Luôn tuân thủ/ tham gia các buổi daily meeting của project.
+ Chủ động / thường xuyên cập nhập tiện độ project với team và PM.
+ Hoàn thành công việc như đã cam kết, nếu có vấn đề phát sinh phải kịp thời báo cáo với PM.</t>
  </si>
  <si>
    <t>Part 3</t>
  </si>
  <si>
    <t>Communication and Collaboration</t>
  </si>
  <si>
    <t>Effective communication</t>
  </si>
  <si>
    <t xml:space="preserve">"- Communicates effectively, proactively, clearly, concisely and in an audience-oriented way, in written and verbal form. 
- Actively listens to others and ensures they are understood. 
- Pays attention to nonverbal communication."</t>
  </si>
  <si>
    <t xml:space="preserve">+ Có sự trình bày rõ ràng về task của mình đang làm, tiến độ, block. 
+ Đảm bào Những thông tin của team đã confim Luôn được hiểu và Nắm chắc. 
+ Phản hồi nhanh chóng khi Có Những câu hỏi từ các thành trong team</t>
  </si>
  <si>
    <t>Conflict Resolution &amp; Team Leadership</t>
  </si>
  <si>
    <t xml:space="preserve">"- Openly shares their opinions and contributes to discussions in a respectful manner. 
- Works with teammates to resolve disagreement in a healthy manner. 
- Is open to changing their perspective and plans based on others' input. "</t>
  </si>
  <si>
    <t xml:space="preserve">- Luôn cởi mở Lắng nghe, tiếp thu, cải thiện. 
- Đóng góp mang tính xây dựng phát triển bản thân.</t>
  </si>
  <si>
    <t>Teamwork</t>
  </si>
  <si>
    <t xml:space="preserve">"- Follow team's working process to ensure delivery plan
- Having good onwnership on their own delivery's result and the team's delivery result
Team-based mindset 
  - Active Listening: Pay close attention to what others are saying during meetings or code reviews. Active listening is crucial for understanding project requirements and collaborating effectively.
  - Clear and Concise Communication: Can explain their ideas and code clearly, both verbally and in writing (e.g., code comments, documentation). Clear communication avoids confusion and ensures everyone is on the same page.
  - Asking Clarifying Questions: Ask relevant questions to understand tasks, requirements, or feedback from others. Asking questions demonstrates a willingness to learn and collaborate.
  - Problem-Solving in a Team Context: Ability to solve problems collaboratively within the team. Actively participate in discussions to find solutions, offer creative ideas, and contribute to resolving challenges collectively. A team-oriented mindset involves being proactive in problem-solving and seeking input from others when needed.
  - Adaptability and Flexibility: Adapts to changes in project requirements or team dynamics. Flexible in adjusting their approach to meet new challenges, and support team members during periods of change or uncertainty. Adaptability is essential for working effectively in a dynamic team environment.
  - Respect for Others' Perspectives: Pay attention to how to interacts with team members who have different backgrounds, experiences, or opinions. Show respect for others' perspectives, actively listen to diverse viewpoints, and contribute to a positive team culture. Demonstrating respect and inclusivity fosters a supportive team environment.
  - Initiative and Proactiveness: Takes initiative to contribute beyond their assigned tasks and proactively address issues or opportunities within the team. Eager to learn new skills, share knowledge with others, and take on additional responsibilities when needed. Initiative and proactiveness are indicators of a strong team-oriented mindset.
"</t>
  </si>
  <si>
    <t xml:space="preserve">- Tuân theo mô hình scrum để đẩy tasks đúng dealine. 
- Tham gia tích cực các cuộc meeting, planing. 
- Học hỏi và phát triển cùng nhau. 
- Phản hồi nhanh chóng. 
- Cơ sở đánh giá: dựa trên sự hiệu quả khi làm việc cùng team. Có thể record lại các module làm trong dự án, và những đóng góp của mình khi làm những module đó.</t>
  </si>
  <si>
    <t>Part 4</t>
  </si>
  <si>
    <t>Individual Growth and Leadership</t>
  </si>
  <si>
    <t>Feedbacks and Improvements</t>
  </si>
  <si>
    <t xml:space="preserve">"- Actively seeks out feedback from their teammates when doing: code review, solutions and requirement analysis..
 - Actively seeks out feedback from their Project Manager/Scrum Master/Team Lead on working process and productivity
 - Works to use feedback that they receive as a tool for growth
 - Willing to deliver constructive feedback to other teammates"</t>
  </si>
  <si>
    <t xml:space="preserve">- Lắng nghe những feedback của anh chị trong team để cải thiện kinh nghiệm của mình. 
- Thực hiện những hành động cải thiện theo sự chỉ dẫn của anh chị. 
- Liên tục học hỏi và cải tiến.
- Tập trung vào những thứ tạo ra giá trị bản thân loại bỏ những thứ không cần thiết không tạo ra giá trị.
- Tích cực quan sát, nhận định để đưa ra các quyết định nhanh hiệu quả dưới sự mơ hồ.
- Rèn luyên tư duy có hệ thống , việc gì quan trọng thì mình làm trước việc gì ít quan trọng hơn thì mình neo đó để làm ngay sau.</t>
  </si>
  <si>
    <t>Knowledge Sharing</t>
  </si>
  <si>
    <t xml:space="preserve">"- Good understanding in their area of work and shares their knowledge with their teammates
 - By regularly discuss and share opinion on requirement analysis 
 - By actively learning and asking for feedbacks when apply technical knowledge from their domain with their teammates/lead
 - By willing to join with their teammates on internal team's technical sharing 
 - By actively providing their constructive feedbacks on team's technical sharing result"</t>
  </si>
  <si>
    <t xml:space="preserve">- Luôn giữ tinh thần học hỏi, chia sẻ và hợp tác cao. 
 - Tham gia các buổi sharing, chia sẻ kiến thức.
 - Tích cực tham chia sẻ những tính năng đã làm cho members trong team nắm.</t>
  </si>
  <si>
    <t>Part 5</t>
  </si>
  <si>
    <t>Overall comments</t>
  </si>
  <si>
    <t>Strengths</t>
  </si>
  <si>
    <t>N/A</t>
  </si>
  <si>
    <t>Points to improve</t>
  </si>
  <si>
    <t>Part 6</t>
  </si>
  <si>
    <t>Specific objectives</t>
  </si>
  <si>
    <t>Achievement of past objectives</t>
  </si>
  <si>
    <t>Objectives for the next period</t>
  </si>
  <si>
    <t>Monthly Check-In Timeline</t>
  </si>
  <si>
    <t>March 2026 Check-in</t>
  </si>
  <si>
    <t>April 2026 Check-in</t>
  </si>
  <si>
    <t>Mar 26 Check-in</t>
  </si>
  <si>
    <t>Apr 26 Check-in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</si>
</sst>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2" x14ac:knownFonts="1">
    <font>
      <color theme="1"/>
      <family val="2"/>
      <scheme val="minor"/>
      <sz val="11"/>
      <name val="Calibri"/>
    </font>
    <font>
      <b/>
      <color rgb="FF000000"/>
      <name val="Calibri"/>
    </font>
  </fonts>
  <fills count="10">
    <fill>
      <patternFill patternType="none"/>
    </fill>
    <fill>
      <patternFill patternType="gray125"/>
    </fill>
    <fill>
      <patternFill patternType="solid">
        <fgColor rgb="FF739FCF"/>
      </patternFill>
    </fill>
    <fill>
      <patternFill patternType="solid">
        <fgColor rgb="FFDDE6EF"/>
      </patternFill>
    </fill>
    <fill>
      <patternFill patternType="solid">
        <fgColor rgb="FF78BC65"/>
      </patternFill>
    </fill>
    <fill>
      <patternFill patternType="solid">
        <fgColor rgb="FFDDE8CB"/>
      </patternFill>
    </fill>
    <fill>
      <patternFill patternType="solid">
        <fgColor rgb="FFFF972E"/>
      </patternFill>
    </fill>
    <fill>
      <patternFill patternType="solid">
        <fgColor rgb="FFFFDBB7"/>
      </patternFill>
    </fill>
    <fill>
      <patternFill patternType="solid">
        <fgColor auto="1"/>
      </patternFill>
    </fill>
    <fill>
      <patternFill patternType="solid">
        <fgColor rgb="FFADD8E6"/>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xf numFmtId="0" fontId="1" fillId="3" borderId="0" xfId="0" applyFont="1" applyFill="1" applyAlignment="1">
      <alignment horizontal="left" vertical="top" wrapText="1"/>
    </xf>
    <xf numFmtId="0" fontId="1" fillId="4" borderId="0" xfId="0" applyFont="1" applyFill="1" applyAlignment="1">
      <alignment horizontal="left" vertical="top" wrapText="1"/>
    </xf>
    <xf numFmtId="9" fontId="1" fillId="4" borderId="0" xfId="0" applyNumberFormat="1" applyFont="1" applyFill="1" applyAlignment="1">
      <alignment horizontal="left" vertical="top" wrapText="1"/>
    </xf>
    <xf numFmtId="0" fontId="1" fillId="5" borderId="0" xfId="0" applyFont="1" applyFill="1" applyAlignment="1">
      <alignment horizontal="left" vertical="top" wrapText="1"/>
    </xf>
    <xf numFmtId="9" fontId="0" fillId="0" borderId="0" xfId="0" applyNumberFormat="1" applyAlignment="1">
      <alignment horizontal="left" vertical="top" wrapText="1"/>
    </xf>
    <xf numFmtId="0" fontId="1" fillId="6" borderId="0" xfId="0" applyFont="1" applyFill="1" applyAlignment="1">
      <alignment horizontal="left" vertical="top" wrapText="1"/>
    </xf>
    <xf numFmtId="0" fontId="1" fillId="7" borderId="0" xfId="0" applyFont="1" applyFill="1" applyAlignment="1">
      <alignment horizontal="left" vertical="top" wrapText="1"/>
    </xf>
    <xf numFmtId="0" fontId="1" fillId="8" borderId="0" xfId="0" applyFont="1" applyFill="1" applyAlignment="1">
      <alignment horizontal="left" vertical="top" wrapText="1"/>
    </xf>
    <xf numFmtId="0" fontId="0" fillId="9" borderId="0" xfId="0" applyFill="1" applyAlignment="1">
      <alignment horizontal="left" vertical="top" wrapText="1"/>
    </xf>
    <xf numFmtId="14" fontId="0" fillId="9" borderId="0" xfId="0" applyNumberForma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FormatPr defaultRowHeight="15" outlineLevelRow="0" outlineLevelCol="0" x14ac:dyDescent="55"/>
  <cols>
    <col min="1" max="1" width="25" customWidth="1"/>
    <col min="2" max="6" width="35" customWidth="1"/>
    <col min="7" max="8" width="15" customWidth="1"/>
    <col min="9" max="9" width="25" customWidth="1"/>
    <col min="10" max="11" width="15" customWidth="1"/>
  </cols>
  <sheetData>
    <row r="1" spans="1:10" x14ac:dyDescent="0.25">
      <c r="A1" s="1" t="s">
        <v>0</v>
      </c>
      <c r="B1" s="1" t="s">
        <v>1</v>
      </c>
      <c r="C1" s="1" t="s">
        <v>2</v>
      </c>
      <c r="D1" s="1" t="s">
        <v>3</v>
      </c>
      <c r="E1" s="1"/>
      <c r="F1" s="1" t="s">
        <v>4</v>
      </c>
      <c r="G1" s="1" t="s">
        <v>5</v>
      </c>
      <c r="H1" s="1" t="s">
        <v>6</v>
      </c>
      <c r="I1" s="1" t="s">
        <v>7</v>
      </c>
      <c r="J1" s="1" t="s">
        <v>8</v>
      </c>
    </row>
    <row r="2" spans="1:10" x14ac:dyDescent="0.25">
      <c r="A2" s="2" t="s">
        <v>9</v>
      </c>
      <c r="B2" s="2" t="s">
        <v>10</v>
      </c>
      <c r="C2" s="2" t="s">
        <v>11</v>
      </c>
      <c r="D2" s="3">
        <v>46084</v>
      </c>
      <c r="E2" s="3">
        <v>46237</v>
      </c>
      <c r="F2" s="3">
        <v>46111</v>
      </c>
      <c r="G2" s="2" t="s">
        <v>12</v>
      </c>
      <c r="H2" s="2">
        <f>SUM(G8 * H8,G18 * H18,G24 * H24,G30 * H30)</f>
      </c>
      <c r="I2" s="2">
        <f>SUM(G8 * J8,G18 * J18,G24 * J24,G30 * J30)</f>
      </c>
      <c r="J2" s="2">
        <f>IF(I2&lt;1, "N/A", IF(I2&lt;2, "Failing", IF(I2&lt;3, "Unsatisfactory", IF(I2&lt;4, "Poor", IF(I2&lt;5, "Under Average", IF(I2&lt;6, "Average", IF(I2&lt;7, "Above Average", IF(I2&lt;8, "Rather Good", IF(I2&lt;9, "Good", IF(I2&lt;10, "Very Good", IF(I2&lt;=10, "Excellent", "-")))))))))))</f>
      </c>
    </row>
    <row r="4" ht="50" customHeight="1" spans="1:10" x14ac:dyDescent="0.25">
      <c r="A4" s="4" t="s">
        <v>13</v>
      </c>
      <c r="B4" s="2" t="s">
        <v>14</v>
      </c>
      <c r="C4" s="2"/>
      <c r="D4" s="2"/>
      <c r="E4" s="2"/>
      <c r="F4" s="2"/>
      <c r="G4" s="2"/>
      <c r="H4" s="2"/>
      <c r="I4" s="2"/>
      <c r="J4" s="2"/>
    </row>
    <row r="6" ht="50" customHeight="1" spans="1:10" x14ac:dyDescent="0.25">
      <c r="A6" s="4" t="s">
        <v>15</v>
      </c>
      <c r="B6" s="2" t="s">
        <v>16</v>
      </c>
      <c r="C6" s="2"/>
      <c r="D6" s="2"/>
      <c r="E6" s="2"/>
      <c r="F6" s="2"/>
      <c r="G6" s="2"/>
      <c r="H6" s="2"/>
      <c r="I6" s="2"/>
      <c r="J6" s="2"/>
    </row>
    <row r="8" spans="1:11" x14ac:dyDescent="0.25">
      <c r="A8" s="5" t="s">
        <v>17</v>
      </c>
      <c r="B8" s="5" t="s">
        <v>18</v>
      </c>
      <c r="C8" s="5"/>
      <c r="D8" s="5"/>
      <c r="E8" s="5"/>
      <c r="F8" s="5"/>
      <c r="G8" s="6">
        <v>0.5</v>
      </c>
      <c r="H8" s="5">
        <f>SUM(IF(G10="",0, G10) * IF(H10="",0, H10),IF(G11="",0, G11) * IF(H11="",0, H11),IF(G12="",0, G12) * IF(H12="",0, H12),IF(G13="",0, G13) * IF(H13="",0, H13),IF(G14="",0, G14) * IF(H14="",0, H14),IF(G15="",0, G15) * IF(H15="",0, H15),IF(G16="",0, G16) * IF(H16="",0, H16))</f>
      </c>
      <c r="I8" s="5" t="s">
        <v>19</v>
      </c>
      <c r="J8" s="5">
        <f>SUM(IF(G10="", 0, G10) * IF(J10="", 0, J10),IF(G11="", 0, G11) * IF(J11="", 0, J11),IF(G12="", 0, G12) * IF(J12="", 0, J12),IF(G13="", 0, G13) * IF(J13="", 0, J13),IF(G14="", 0, G14) * IF(J14="", 0, J14),IF(G15="", 0, G15) * IF(J15="", 0, J15),IF(G16="", 0, G16) * IF(J16="", 0, J16))</f>
      </c>
      <c r="K8" s="5">
        <f>IF(J8&lt;1, "N/A", IF(J8&lt;2, "Failing", IF(J8&lt;3, "Unsatisfactory", IF(J8&lt;4, "Poor", IF(J8&lt;5, "Under Average", IF(J8&lt;6, "Average", IF(J8&lt;7, "Above Average", IF(J8&lt;8, "Rather Good", IF(J8&lt;9, "Good", IF(J8&lt;10, "Very Good", IF(J8&lt;=10, "Excellent", "-")))))))))))</f>
      </c>
    </row>
    <row r="9" spans="1:11" x14ac:dyDescent="0.25">
      <c r="A9" s="7" t="s">
        <v>20</v>
      </c>
      <c r="B9" s="7" t="s">
        <v>13</v>
      </c>
      <c r="C9" s="7" t="s">
        <v>21</v>
      </c>
      <c r="D9" s="7" t="s">
        <v>22</v>
      </c>
      <c r="E9" s="7" t="s">
        <v>23</v>
      </c>
      <c r="F9" s="7" t="s">
        <v>24</v>
      </c>
      <c r="G9" s="7" t="s">
        <v>25</v>
      </c>
      <c r="H9" s="7" t="s">
        <v>6</v>
      </c>
      <c r="I9" s="7" t="s">
        <v>26</v>
      </c>
      <c r="J9" s="7" t="s">
        <v>27</v>
      </c>
      <c r="K9" s="7" t="s">
        <v>28</v>
      </c>
    </row>
    <row r="10" ht="50" customHeight="1" spans="1:11" x14ac:dyDescent="0.25">
      <c r="A10" s="2" t="s">
        <v>29</v>
      </c>
      <c r="B10" s="2" t="s">
        <v>30</v>
      </c>
      <c r="C10" s="2" t="s">
        <v>31</v>
      </c>
      <c r="D10" s="2" t="s">
        <v>19</v>
      </c>
      <c r="E10" s="2" t="s">
        <v>19</v>
      </c>
      <c r="F10" s="2" t="s">
        <v>19</v>
      </c>
      <c r="G10" s="8">
        <v>0.25</v>
      </c>
      <c r="H10" s="2" t="s">
        <v>19</v>
      </c>
      <c r="I10" s="2" t="s">
        <v>19</v>
      </c>
      <c r="J10" s="2" t="s">
        <v>19</v>
      </c>
      <c r="K10" s="2">
        <f>IF(J10&lt;1, "N/A", IF(J10&lt;2, "Failing", IF(J10&lt;3, "Unsatisfactory", IF(J10&lt;4, "Poor", IF(J10&lt;5, "Under Average", IF(J10&lt;6, "Average", IF(J10&lt;7, "Above Average", IF(J10&lt;8, "Rather Good", IF(J10&lt;9, "Good", IF(J10&lt;10, "Very Good", IF(J10&lt;=10, "Excellent", "-")))))))))))</f>
      </c>
    </row>
    <row r="11" ht="50" customHeight="1" spans="1:11" x14ac:dyDescent="0.25">
      <c r="A11" s="2" t="s">
        <v>32</v>
      </c>
      <c r="B11" s="2" t="s">
        <v>33</v>
      </c>
      <c r="C11" s="2" t="s">
        <v>34</v>
      </c>
      <c r="D11" s="2" t="s">
        <v>19</v>
      </c>
      <c r="E11" s="2" t="s">
        <v>19</v>
      </c>
      <c r="F11" s="2" t="s">
        <v>19</v>
      </c>
      <c r="G11" s="8">
        <v>0.25</v>
      </c>
      <c r="H11" s="2" t="s">
        <v>19</v>
      </c>
      <c r="I11" s="2" t="s">
        <v>19</v>
      </c>
      <c r="J11" s="2" t="s">
        <v>19</v>
      </c>
      <c r="K11" s="2">
        <f>IF(J11&lt;1, "N/A", IF(J11&lt;2, "Failing", IF(J11&lt;3, "Unsatisfactory", IF(J11&lt;4, "Poor", IF(J11&lt;5, "Under Average", IF(J11&lt;6, "Average", IF(J11&lt;7, "Above Average", IF(J11&lt;8, "Rather Good", IF(J11&lt;9, "Good", IF(J11&lt;10, "Very Good", IF(J11&lt;=10, "Excellent", "-")))))))))))</f>
      </c>
    </row>
    <row r="12" ht="50" customHeight="1" spans="1:11" x14ac:dyDescent="0.25">
      <c r="A12" s="2" t="s">
        <v>35</v>
      </c>
      <c r="B12" s="2" t="s">
        <v>36</v>
      </c>
      <c r="C12" s="2" t="s">
        <v>37</v>
      </c>
      <c r="D12" s="2" t="s">
        <v>19</v>
      </c>
      <c r="E12" s="2" t="s">
        <v>19</v>
      </c>
      <c r="F12" s="2" t="s">
        <v>19</v>
      </c>
      <c r="G12" s="8">
        <v>0.1</v>
      </c>
      <c r="H12" s="2" t="s">
        <v>19</v>
      </c>
      <c r="I12" s="2" t="s">
        <v>19</v>
      </c>
      <c r="J12" s="2" t="s">
        <v>19</v>
      </c>
      <c r="K12" s="2">
        <f>IF(J12&lt;1, "N/A", IF(J12&lt;2, "Failing", IF(J12&lt;3, "Unsatisfactory", IF(J12&lt;4, "Poor", IF(J12&lt;5, "Under Average", IF(J12&lt;6, "Average", IF(J12&lt;7, "Above Average", IF(J12&lt;8, "Rather Good", IF(J12&lt;9, "Good", IF(J12&lt;10, "Very Good", IF(J12&lt;=10, "Excellent", "-")))))))))))</f>
      </c>
    </row>
    <row r="13" ht="50" customHeight="1" spans="1:11" x14ac:dyDescent="0.25">
      <c r="A13" s="2" t="s">
        <v>38</v>
      </c>
      <c r="B13" s="2" t="s">
        <v>39</v>
      </c>
      <c r="C13" s="2" t="s">
        <v>40</v>
      </c>
      <c r="D13" s="2" t="s">
        <v>19</v>
      </c>
      <c r="E13" s="2" t="s">
        <v>19</v>
      </c>
      <c r="F13" s="2" t="s">
        <v>19</v>
      </c>
      <c r="G13" s="8">
        <v>0.1</v>
      </c>
      <c r="H13" s="2" t="s">
        <v>19</v>
      </c>
      <c r="I13" s="2" t="s">
        <v>19</v>
      </c>
      <c r="J13" s="2" t="s">
        <v>19</v>
      </c>
      <c r="K13" s="2">
        <f>IF(J13&lt;1, "N/A", IF(J13&lt;2, "Failing", IF(J13&lt;3, "Unsatisfactory", IF(J13&lt;4, "Poor", IF(J13&lt;5, "Under Average", IF(J13&lt;6, "Average", IF(J13&lt;7, "Above Average", IF(J13&lt;8, "Rather Good", IF(J13&lt;9, "Good", IF(J13&lt;10, "Very Good", IF(J13&lt;=10, "Excellent", "-")))))))))))</f>
      </c>
    </row>
    <row r="14" ht="50" customHeight="1" spans="1:11" x14ac:dyDescent="0.25">
      <c r="A14" s="2" t="s">
        <v>41</v>
      </c>
      <c r="B14" s="2" t="s">
        <v>42</v>
      </c>
      <c r="C14" s="2" t="s">
        <v>43</v>
      </c>
      <c r="D14" s="2" t="s">
        <v>19</v>
      </c>
      <c r="E14" s="2" t="s">
        <v>19</v>
      </c>
      <c r="F14" s="2" t="s">
        <v>19</v>
      </c>
      <c r="G14" s="8">
        <v>0.1</v>
      </c>
      <c r="H14" s="2" t="s">
        <v>19</v>
      </c>
      <c r="I14" s="2" t="s">
        <v>19</v>
      </c>
      <c r="J14" s="2" t="s">
        <v>19</v>
      </c>
      <c r="K14" s="2">
        <f>IF(J14&lt;1, "N/A", IF(J14&lt;2, "Failing", IF(J14&lt;3, "Unsatisfactory", IF(J14&lt;4, "Poor", IF(J14&lt;5, "Under Average", IF(J14&lt;6, "Average", IF(J14&lt;7, "Above Average", IF(J14&lt;8, "Rather Good", IF(J14&lt;9, "Good", IF(J14&lt;10, "Very Good", IF(J14&lt;=10, "Excellent", "-")))))))))))</f>
      </c>
    </row>
    <row r="15" ht="50" customHeight="1" spans="1:11" x14ac:dyDescent="0.25">
      <c r="A15" s="2" t="s">
        <v>44</v>
      </c>
      <c r="B15" s="2" t="s">
        <v>45</v>
      </c>
      <c r="C15" s="2" t="s">
        <v>46</v>
      </c>
      <c r="D15" s="2" t="s">
        <v>19</v>
      </c>
      <c r="E15" s="2" t="s">
        <v>19</v>
      </c>
      <c r="F15" s="2" t="s">
        <v>19</v>
      </c>
      <c r="G15" s="8">
        <v>0.1</v>
      </c>
      <c r="H15" s="2" t="s">
        <v>19</v>
      </c>
      <c r="I15" s="2" t="s">
        <v>19</v>
      </c>
      <c r="J15" s="2" t="s">
        <v>19</v>
      </c>
      <c r="K15" s="2">
        <f>IF(J15&lt;1, "N/A", IF(J15&lt;2, "Failing", IF(J15&lt;3, "Unsatisfactory", IF(J15&lt;4, "Poor", IF(J15&lt;5, "Under Average", IF(J15&lt;6, "Average", IF(J15&lt;7, "Above Average", IF(J15&lt;8, "Rather Good", IF(J15&lt;9, "Good", IF(J15&lt;10, "Very Good", IF(J15&lt;=10, "Excellent", "-")))))))))))</f>
      </c>
    </row>
    <row r="16" ht="50" customHeight="1" spans="1:11" x14ac:dyDescent="0.25">
      <c r="A16" s="2" t="s">
        <v>47</v>
      </c>
      <c r="B16" s="2" t="s">
        <v>48</v>
      </c>
      <c r="C16" s="2" t="s">
        <v>49</v>
      </c>
      <c r="D16" s="2" t="s">
        <v>19</v>
      </c>
      <c r="E16" s="2" t="s">
        <v>19</v>
      </c>
      <c r="F16" s="2" t="s">
        <v>19</v>
      </c>
      <c r="G16" s="8">
        <v>0.1</v>
      </c>
      <c r="H16" s="2" t="s">
        <v>19</v>
      </c>
      <c r="I16" s="2" t="s">
        <v>19</v>
      </c>
      <c r="J16" s="2" t="s">
        <v>19</v>
      </c>
      <c r="K16" s="2">
        <f>IF(J16&lt;1, "N/A", IF(J16&lt;2, "Failing", IF(J16&lt;3, "Unsatisfactory", IF(J16&lt;4, "Poor", IF(J16&lt;5, "Under Average", IF(J16&lt;6, "Average", IF(J16&lt;7, "Above Average", IF(J16&lt;8, "Rather Good", IF(J16&lt;9, "Good", IF(J16&lt;10, "Very Good", IF(J16&lt;=10, "Excellent", "-")))))))))))</f>
      </c>
    </row>
    <row r="18" spans="1:11" x14ac:dyDescent="0.25">
      <c r="A18" s="5" t="s">
        <v>50</v>
      </c>
      <c r="B18" s="5" t="s">
        <v>51</v>
      </c>
      <c r="C18" s="5"/>
      <c r="D18" s="5"/>
      <c r="E18" s="5"/>
      <c r="F18" s="5"/>
      <c r="G18" s="6">
        <v>0.2</v>
      </c>
      <c r="H18" s="5">
        <f>SUM(IF(G20="",0, G20) * IF(H20="",0, H20),IF(G21="",0, G21) * IF(H21="",0, H21),IF(G22="",0, G22) * IF(H22="",0, H22))</f>
      </c>
      <c r="I18" s="5" t="s">
        <v>19</v>
      </c>
      <c r="J18" s="5">
        <f>SUM(IF(G20="", 0, G20) * IF(J20="", 0, J20),IF(G21="", 0, G21) * IF(J21="", 0, J21),IF(G22="", 0, G22) * IF(J22="", 0, J22))</f>
      </c>
      <c r="K18" s="5">
        <f>IF(J18&lt;1, "N/A", IF(J18&lt;2, "Failing", IF(J18&lt;3, "Unsatisfactory", IF(J18&lt;4, "Poor", IF(J18&lt;5, "Under Average", IF(J18&lt;6, "Average", IF(J18&lt;7, "Above Average", IF(J18&lt;8, "Rather Good", IF(J18&lt;9, "Good", IF(J18&lt;10, "Very Good", IF(J18&lt;=10, "Excellent", "-")))))))))))</f>
      </c>
    </row>
    <row r="19" spans="1:11" x14ac:dyDescent="0.25">
      <c r="A19" s="7" t="s">
        <v>20</v>
      </c>
      <c r="B19" s="7" t="s">
        <v>13</v>
      </c>
      <c r="C19" s="7" t="s">
        <v>21</v>
      </c>
      <c r="D19" s="7" t="s">
        <v>22</v>
      </c>
      <c r="E19" s="7" t="s">
        <v>23</v>
      </c>
      <c r="F19" s="7" t="s">
        <v>24</v>
      </c>
      <c r="G19" s="7" t="s">
        <v>25</v>
      </c>
      <c r="H19" s="7" t="s">
        <v>6</v>
      </c>
      <c r="I19" s="7" t="s">
        <v>26</v>
      </c>
      <c r="J19" s="7" t="s">
        <v>27</v>
      </c>
      <c r="K19" s="7" t="s">
        <v>28</v>
      </c>
    </row>
    <row r="20" ht="50" customHeight="1" spans="1:11" x14ac:dyDescent="0.25">
      <c r="A20" s="2" t="s">
        <v>52</v>
      </c>
      <c r="B20" s="2" t="s">
        <v>53</v>
      </c>
      <c r="C20" s="2" t="s">
        <v>54</v>
      </c>
      <c r="D20" s="2" t="s">
        <v>19</v>
      </c>
      <c r="E20" s="2" t="s">
        <v>19</v>
      </c>
      <c r="F20" s="2" t="s">
        <v>19</v>
      </c>
      <c r="G20" s="8">
        <v>0.25</v>
      </c>
      <c r="H20" s="2" t="s">
        <v>19</v>
      </c>
      <c r="I20" s="2" t="s">
        <v>19</v>
      </c>
      <c r="J20" s="2" t="s">
        <v>19</v>
      </c>
      <c r="K20" s="2">
        <f>IF(J20&lt;1, "N/A", IF(J20&lt;2, "Failing", IF(J20&lt;3, "Unsatisfactory", IF(J20&lt;4, "Poor", IF(J20&lt;5, "Under Average", IF(J20&lt;6, "Average", IF(J20&lt;7, "Above Average", IF(J20&lt;8, "Rather Good", IF(J20&lt;9, "Good", IF(J20&lt;10, "Very Good", IF(J20&lt;=10, "Excellent", "-")))))))))))</f>
      </c>
    </row>
    <row r="21" ht="50" customHeight="1" spans="1:11" x14ac:dyDescent="0.25">
      <c r="A21" s="2" t="s">
        <v>55</v>
      </c>
      <c r="B21" s="2" t="s">
        <v>56</v>
      </c>
      <c r="C21" s="2" t="s">
        <v>57</v>
      </c>
      <c r="D21" s="2" t="s">
        <v>19</v>
      </c>
      <c r="E21" s="2" t="s">
        <v>19</v>
      </c>
      <c r="F21" s="2" t="s">
        <v>19</v>
      </c>
      <c r="G21" s="8">
        <v>0.5</v>
      </c>
      <c r="H21" s="2" t="s">
        <v>19</v>
      </c>
      <c r="I21" s="2" t="s">
        <v>19</v>
      </c>
      <c r="J21" s="2" t="s">
        <v>19</v>
      </c>
      <c r="K21" s="2">
        <f>IF(J21&lt;1, "N/A", IF(J21&lt;2, "Failing", IF(J21&lt;3, "Unsatisfactory", IF(J21&lt;4, "Poor", IF(J21&lt;5, "Under Average", IF(J21&lt;6, "Average", IF(J21&lt;7, "Above Average", IF(J21&lt;8, "Rather Good", IF(J21&lt;9, "Good", IF(J21&lt;10, "Very Good", IF(J21&lt;=10, "Excellent", "-")))))))))))</f>
      </c>
    </row>
    <row r="22" ht="50" customHeight="1" spans="1:11" x14ac:dyDescent="0.25">
      <c r="A22" s="2" t="s">
        <v>58</v>
      </c>
      <c r="B22" s="2" t="s">
        <v>59</v>
      </c>
      <c r="C22" s="2" t="s">
        <v>60</v>
      </c>
      <c r="D22" s="2" t="s">
        <v>19</v>
      </c>
      <c r="E22" s="2" t="s">
        <v>19</v>
      </c>
      <c r="F22" s="2" t="s">
        <v>19</v>
      </c>
      <c r="G22" s="8">
        <v>0.25</v>
      </c>
      <c r="H22" s="2" t="s">
        <v>19</v>
      </c>
      <c r="I22" s="2" t="s">
        <v>19</v>
      </c>
      <c r="J22" s="2" t="s">
        <v>19</v>
      </c>
      <c r="K22" s="2">
        <f>IF(J22&lt;1, "N/A", IF(J22&lt;2, "Failing", IF(J22&lt;3, "Unsatisfactory", IF(J22&lt;4, "Poor", IF(J22&lt;5, "Under Average", IF(J22&lt;6, "Average", IF(J22&lt;7, "Above Average", IF(J22&lt;8, "Rather Good", IF(J22&lt;9, "Good", IF(J22&lt;10, "Very Good", IF(J22&lt;=10, "Excellent", "-")))))))))))</f>
      </c>
    </row>
    <row r="24" spans="1:11" x14ac:dyDescent="0.25">
      <c r="A24" s="5" t="s">
        <v>61</v>
      </c>
      <c r="B24" s="5" t="s">
        <v>62</v>
      </c>
      <c r="C24" s="5"/>
      <c r="D24" s="5"/>
      <c r="E24" s="5"/>
      <c r="F24" s="5"/>
      <c r="G24" s="6">
        <v>0.2</v>
      </c>
      <c r="H24" s="5">
        <f>SUM(IF(G26="",0, G26) * IF(H26="",0, H26),IF(G27="",0, G27) * IF(H27="",0, H27),IF(G28="",0, G28) * IF(H28="",0, H28))</f>
      </c>
      <c r="I24" s="5" t="s">
        <v>19</v>
      </c>
      <c r="J24" s="5">
        <f>SUM(IF(G26="", 0, G26) * IF(J26="", 0, J26),IF(G27="", 0, G27) * IF(J27="", 0, J27),IF(G28="", 0, G28) * IF(J28="", 0, J28))</f>
      </c>
      <c r="K24" s="5">
        <f>IF(J24&lt;1, "N/A", IF(J24&lt;2, "Failing", IF(J24&lt;3, "Unsatisfactory", IF(J24&lt;4, "Poor", IF(J24&lt;5, "Under Average", IF(J24&lt;6, "Average", IF(J24&lt;7, "Above Average", IF(J24&lt;8, "Rather Good", IF(J24&lt;9, "Good", IF(J24&lt;10, "Very Good", IF(J24&lt;=10, "Excellent", "-")))))))))))</f>
      </c>
    </row>
    <row r="25" spans="1:11" x14ac:dyDescent="0.25">
      <c r="A25" s="7" t="s">
        <v>20</v>
      </c>
      <c r="B25" s="7" t="s">
        <v>13</v>
      </c>
      <c r="C25" s="7" t="s">
        <v>21</v>
      </c>
      <c r="D25" s="7" t="s">
        <v>22</v>
      </c>
      <c r="E25" s="7" t="s">
        <v>23</v>
      </c>
      <c r="F25" s="7" t="s">
        <v>24</v>
      </c>
      <c r="G25" s="7" t="s">
        <v>25</v>
      </c>
      <c r="H25" s="7" t="s">
        <v>6</v>
      </c>
      <c r="I25" s="7" t="s">
        <v>26</v>
      </c>
      <c r="J25" s="7" t="s">
        <v>27</v>
      </c>
      <c r="K25" s="7" t="s">
        <v>28</v>
      </c>
    </row>
    <row r="26" ht="50" customHeight="1" spans="1:11" x14ac:dyDescent="0.25">
      <c r="A26" s="2" t="s">
        <v>63</v>
      </c>
      <c r="B26" s="2" t="s">
        <v>64</v>
      </c>
      <c r="C26" s="2" t="s">
        <v>65</v>
      </c>
      <c r="D26" s="2" t="s">
        <v>19</v>
      </c>
      <c r="E26" s="2" t="s">
        <v>19</v>
      </c>
      <c r="F26" s="2" t="s">
        <v>19</v>
      </c>
      <c r="G26" s="8">
        <v>0.25</v>
      </c>
      <c r="H26" s="2" t="s">
        <v>19</v>
      </c>
      <c r="I26" s="2" t="s">
        <v>19</v>
      </c>
      <c r="J26" s="2" t="s">
        <v>19</v>
      </c>
      <c r="K26" s="2">
        <f>IF(J26&lt;1, "N/A", IF(J26&lt;2, "Failing", IF(J26&lt;3, "Unsatisfactory", IF(J26&lt;4, "Poor", IF(J26&lt;5, "Under Average", IF(J26&lt;6, "Average", IF(J26&lt;7, "Above Average", IF(J26&lt;8, "Rather Good", IF(J26&lt;9, "Good", IF(J26&lt;10, "Very Good", IF(J26&lt;=10, "Excellent", "-")))))))))))</f>
      </c>
    </row>
    <row r="27" ht="50" customHeight="1" spans="1:11" x14ac:dyDescent="0.25">
      <c r="A27" s="2" t="s">
        <v>66</v>
      </c>
      <c r="B27" s="2" t="s">
        <v>67</v>
      </c>
      <c r="C27" s="2" t="s">
        <v>68</v>
      </c>
      <c r="D27" s="2" t="s">
        <v>19</v>
      </c>
      <c r="E27" s="2" t="s">
        <v>19</v>
      </c>
      <c r="F27" s="2" t="s">
        <v>19</v>
      </c>
      <c r="G27" s="8">
        <v>0.25</v>
      </c>
      <c r="H27" s="2" t="s">
        <v>19</v>
      </c>
      <c r="I27" s="2" t="s">
        <v>19</v>
      </c>
      <c r="J27" s="2" t="s">
        <v>19</v>
      </c>
      <c r="K27" s="2">
        <f>IF(J27&lt;1, "N/A", IF(J27&lt;2, "Failing", IF(J27&lt;3, "Unsatisfactory", IF(J27&lt;4, "Poor", IF(J27&lt;5, "Under Average", IF(J27&lt;6, "Average", IF(J27&lt;7, "Above Average", IF(J27&lt;8, "Rather Good", IF(J27&lt;9, "Good", IF(J27&lt;10, "Very Good", IF(J27&lt;=10, "Excellent", "-")))))))))))</f>
      </c>
    </row>
    <row r="28" ht="50" customHeight="1" spans="1:11" x14ac:dyDescent="0.25">
      <c r="A28" s="2" t="s">
        <v>69</v>
      </c>
      <c r="B28" s="2" t="s">
        <v>70</v>
      </c>
      <c r="C28" s="2" t="s">
        <v>71</v>
      </c>
      <c r="D28" s="2" t="s">
        <v>19</v>
      </c>
      <c r="E28" s="2" t="s">
        <v>19</v>
      </c>
      <c r="F28" s="2" t="s">
        <v>19</v>
      </c>
      <c r="G28" s="8">
        <v>0.5</v>
      </c>
      <c r="H28" s="2" t="s">
        <v>19</v>
      </c>
      <c r="I28" s="2" t="s">
        <v>19</v>
      </c>
      <c r="J28" s="2" t="s">
        <v>19</v>
      </c>
      <c r="K28" s="2">
        <f>IF(J28&lt;1, "N/A", IF(J28&lt;2, "Failing", IF(J28&lt;3, "Unsatisfactory", IF(J28&lt;4, "Poor", IF(J28&lt;5, "Under Average", IF(J28&lt;6, "Average", IF(J28&lt;7, "Above Average", IF(J28&lt;8, "Rather Good", IF(J28&lt;9, "Good", IF(J28&lt;10, "Very Good", IF(J28&lt;=10, "Excellent", "-")))))))))))</f>
      </c>
    </row>
    <row r="30" spans="1:11" x14ac:dyDescent="0.25">
      <c r="A30" s="5" t="s">
        <v>72</v>
      </c>
      <c r="B30" s="5" t="s">
        <v>73</v>
      </c>
      <c r="C30" s="5"/>
      <c r="D30" s="5"/>
      <c r="E30" s="5"/>
      <c r="F30" s="5"/>
      <c r="G30" s="6">
        <v>0.1</v>
      </c>
      <c r="H30" s="5">
        <f>SUM(IF(G32="",0, G32) * IF(H32="",0, H32),IF(G33="",0, G33) * IF(H33="",0, H33))</f>
      </c>
      <c r="I30" s="5" t="s">
        <v>19</v>
      </c>
      <c r="J30" s="5">
        <f>SUM(IF(G32="", 0, G32) * IF(J32="", 0, J32),IF(G33="", 0, G33) * IF(J33="", 0, J33))</f>
      </c>
      <c r="K30" s="5">
        <f>IF(J30&lt;1, "N/A", IF(J30&lt;2, "Failing", IF(J30&lt;3, "Unsatisfactory", IF(J30&lt;4, "Poor", IF(J30&lt;5, "Under Average", IF(J30&lt;6, "Average", IF(J30&lt;7, "Above Average", IF(J30&lt;8, "Rather Good", IF(J30&lt;9, "Good", IF(J30&lt;10, "Very Good", IF(J30&lt;=10, "Excellent", "-")))))))))))</f>
      </c>
    </row>
    <row r="31" spans="1:11" x14ac:dyDescent="0.25">
      <c r="A31" s="7" t="s">
        <v>20</v>
      </c>
      <c r="B31" s="7" t="s">
        <v>13</v>
      </c>
      <c r="C31" s="7" t="s">
        <v>21</v>
      </c>
      <c r="D31" s="7" t="s">
        <v>22</v>
      </c>
      <c r="E31" s="7" t="s">
        <v>23</v>
      </c>
      <c r="F31" s="7" t="s">
        <v>24</v>
      </c>
      <c r="G31" s="7" t="s">
        <v>25</v>
      </c>
      <c r="H31" s="7" t="s">
        <v>6</v>
      </c>
      <c r="I31" s="7" t="s">
        <v>26</v>
      </c>
      <c r="J31" s="7" t="s">
        <v>27</v>
      </c>
      <c r="K31" s="7" t="s">
        <v>28</v>
      </c>
    </row>
    <row r="32" ht="50" customHeight="1" spans="1:11" x14ac:dyDescent="0.25">
      <c r="A32" s="2" t="s">
        <v>74</v>
      </c>
      <c r="B32" s="2" t="s">
        <v>75</v>
      </c>
      <c r="C32" s="2" t="s">
        <v>76</v>
      </c>
      <c r="D32" s="2" t="s">
        <v>19</v>
      </c>
      <c r="E32" s="2" t="s">
        <v>19</v>
      </c>
      <c r="F32" s="2" t="s">
        <v>19</v>
      </c>
      <c r="G32" s="8">
        <v>0.5</v>
      </c>
      <c r="H32" s="2" t="s">
        <v>19</v>
      </c>
      <c r="I32" s="2" t="s">
        <v>19</v>
      </c>
      <c r="J32" s="2" t="s">
        <v>19</v>
      </c>
      <c r="K32" s="2">
        <f>IF(J32&lt;1, "N/A", IF(J32&lt;2, "Failing", IF(J32&lt;3, "Unsatisfactory", IF(J32&lt;4, "Poor", IF(J32&lt;5, "Under Average", IF(J32&lt;6, "Average", IF(J32&lt;7, "Above Average", IF(J32&lt;8, "Rather Good", IF(J32&lt;9, "Good", IF(J32&lt;10, "Very Good", IF(J32&lt;=10, "Excellent", "-")))))))))))</f>
      </c>
    </row>
    <row r="33" ht="50" customHeight="1" spans="1:11" x14ac:dyDescent="0.25">
      <c r="A33" s="2" t="s">
        <v>77</v>
      </c>
      <c r="B33" s="2" t="s">
        <v>78</v>
      </c>
      <c r="C33" s="2" t="s">
        <v>79</v>
      </c>
      <c r="D33" s="2" t="s">
        <v>19</v>
      </c>
      <c r="E33" s="2" t="s">
        <v>19</v>
      </c>
      <c r="F33" s="2" t="s">
        <v>19</v>
      </c>
      <c r="G33" s="8">
        <v>0.5</v>
      </c>
      <c r="H33" s="2" t="s">
        <v>19</v>
      </c>
      <c r="I33" s="2" t="s">
        <v>19</v>
      </c>
      <c r="J33" s="2" t="s">
        <v>19</v>
      </c>
      <c r="K33" s="2">
        <f>IF(J33&lt;1, "N/A", IF(J33&lt;2, "Failing", IF(J33&lt;3, "Unsatisfactory", IF(J33&lt;4, "Poor", IF(J33&lt;5, "Under Average", IF(J33&lt;6, "Average", IF(J33&lt;7, "Above Average", IF(J33&lt;8, "Rather Good", IF(J33&lt;9, "Good", IF(J33&lt;10, "Very Good", IF(J33&lt;=10, "Excellent", "-")))))))))))</f>
      </c>
    </row>
    <row r="35" spans="1:6" x14ac:dyDescent="0.25">
      <c r="A35" s="9" t="s">
        <v>80</v>
      </c>
      <c r="B35" s="9" t="s">
        <v>81</v>
      </c>
      <c r="C35" s="9"/>
      <c r="D35" s="9"/>
      <c r="E35" s="9"/>
      <c r="F35" s="9"/>
    </row>
    <row r="36" spans="1:6" x14ac:dyDescent="0.25">
      <c r="A36" s="10" t="s">
        <v>20</v>
      </c>
      <c r="B36" s="10" t="s">
        <v>13</v>
      </c>
      <c r="C36" s="10"/>
      <c r="D36" s="10" t="s">
        <v>22</v>
      </c>
      <c r="E36" s="10" t="s">
        <v>23</v>
      </c>
      <c r="F36" s="10" t="s">
        <v>24</v>
      </c>
    </row>
    <row r="37" ht="50" customHeight="1" spans="1:6" x14ac:dyDescent="0.25">
      <c r="A37" s="2" t="s">
        <v>82</v>
      </c>
      <c r="B37" s="2" t="s">
        <v>83</v>
      </c>
      <c r="C37" s="2"/>
      <c r="D37" s="2" t="s">
        <v>19</v>
      </c>
      <c r="E37" s="2" t="s">
        <v>19</v>
      </c>
      <c r="F37" s="2" t="s">
        <v>19</v>
      </c>
    </row>
    <row r="38" ht="50" customHeight="1" spans="1:6" x14ac:dyDescent="0.25">
      <c r="A38" s="2" t="s">
        <v>84</v>
      </c>
      <c r="B38" s="2" t="s">
        <v>83</v>
      </c>
      <c r="C38" s="2"/>
      <c r="D38" s="2" t="s">
        <v>19</v>
      </c>
      <c r="E38" s="2" t="s">
        <v>19</v>
      </c>
      <c r="F38" s="2" t="s">
        <v>19</v>
      </c>
    </row>
    <row r="40" spans="1:6" x14ac:dyDescent="0.25">
      <c r="A40" s="9" t="s">
        <v>85</v>
      </c>
      <c r="B40" s="9" t="s">
        <v>86</v>
      </c>
      <c r="C40" s="9"/>
      <c r="D40" s="9"/>
      <c r="E40" s="9"/>
      <c r="F40" s="9"/>
    </row>
    <row r="41" spans="1:6" x14ac:dyDescent="0.25">
      <c r="A41" s="10" t="s">
        <v>20</v>
      </c>
      <c r="B41" s="10" t="s">
        <v>13</v>
      </c>
      <c r="C41" s="10"/>
      <c r="D41" s="10" t="s">
        <v>22</v>
      </c>
      <c r="E41" s="10" t="s">
        <v>23</v>
      </c>
      <c r="F41" s="10" t="s">
        <v>24</v>
      </c>
    </row>
    <row r="42" ht="50" customHeight="1" spans="1:6" x14ac:dyDescent="0.25">
      <c r="A42" s="2" t="s">
        <v>87</v>
      </c>
      <c r="B42" s="2" t="s">
        <v>83</v>
      </c>
      <c r="C42" s="2"/>
      <c r="D42" s="2" t="s">
        <v>19</v>
      </c>
      <c r="E42" s="2" t="s">
        <v>19</v>
      </c>
      <c r="F42" s="2" t="s">
        <v>19</v>
      </c>
    </row>
    <row r="43" ht="50" customHeight="1" spans="1:6" x14ac:dyDescent="0.25">
      <c r="A43" s="2" t="s">
        <v>88</v>
      </c>
      <c r="B43" s="2" t="s">
        <v>83</v>
      </c>
      <c r="C43" s="2"/>
      <c r="D43" s="2" t="s">
        <v>19</v>
      </c>
      <c r="E43" s="2" t="s">
        <v>19</v>
      </c>
      <c r="F43" s="2" t="s">
        <v>19</v>
      </c>
    </row>
  </sheetData>
  <mergeCells count="15">
    <mergeCell ref="D1:E1"/>
    <mergeCell ref="B4:J4"/>
    <mergeCell ref="B6:J6"/>
    <mergeCell ref="B8:F8"/>
    <mergeCell ref="B18:F18"/>
    <mergeCell ref="B24:F24"/>
    <mergeCell ref="B30:F30"/>
    <mergeCell ref="B35:F35"/>
    <mergeCell ref="B36:C36"/>
    <mergeCell ref="B37:C37"/>
    <mergeCell ref="B38:C38"/>
    <mergeCell ref="B40:F40"/>
    <mergeCell ref="B41:C41"/>
    <mergeCell ref="B42:C42"/>
    <mergeCell ref="B43:C4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
  <sheetFormatPr defaultRowHeight="15" outlineLevelRow="0" outlineLevelCol="0" x14ac:dyDescent="55"/>
  <cols>
    <col min="1" max="1" width="25" customWidth="1"/>
    <col min="2" max="5" width="35" customWidth="1"/>
  </cols>
  <sheetData>
    <row r="1" spans="1:3" x14ac:dyDescent="0.25">
      <c r="A1" s="11" t="s">
        <v>89</v>
      </c>
      <c r="B1" s="11"/>
      <c r="C1" s="11"/>
    </row>
    <row r="3" spans="1:3" x14ac:dyDescent="0.25">
      <c r="A3" s="2" t="s">
        <v>90</v>
      </c>
      <c r="B3" s="3">
        <v>46084</v>
      </c>
      <c r="C3" s="3">
        <v>46112</v>
      </c>
    </row>
    <row r="4" spans="1:3" x14ac:dyDescent="0.25">
      <c r="A4" s="2" t="s">
        <v>90</v>
      </c>
      <c r="B4" s="3">
        <v>46113</v>
      </c>
      <c r="C4" s="3">
        <v>46142</v>
      </c>
    </row>
    <row r="5" spans="1:3" x14ac:dyDescent="0.25">
      <c r="A5" s="12" t="s">
        <v>91</v>
      </c>
      <c r="B5" s="13">
        <v>46143</v>
      </c>
      <c r="C5" s="13">
        <v>46173</v>
      </c>
    </row>
    <row r="7" spans="1:5" x14ac:dyDescent="0.25">
      <c r="A7" s="5" t="s">
        <v>17</v>
      </c>
      <c r="B7" s="5" t="s">
        <v>18</v>
      </c>
      <c r="C7" s="5"/>
      <c r="D7" s="5"/>
      <c r="E7" s="5"/>
    </row>
    <row r="8" spans="1:5" x14ac:dyDescent="0.25">
      <c r="A8" s="7" t="s">
        <v>20</v>
      </c>
      <c r="B8" s="7" t="s">
        <v>21</v>
      </c>
      <c r="C8" s="7" t="s">
        <v>92</v>
      </c>
      <c r="D8" s="7" t="s">
        <v>92</v>
      </c>
      <c r="E8" s="7" t="s">
        <v>93</v>
      </c>
    </row>
    <row r="9" ht="50" customHeight="1" spans="1:5" x14ac:dyDescent="0.25">
      <c r="A9" s="2" t="s">
        <v>29</v>
      </c>
      <c r="B9" s="2" t="s">
        <v>31</v>
      </c>
    </row>
    <row r="10" ht="50" customHeight="1" spans="1:5" x14ac:dyDescent="0.25">
      <c r="A10" s="2" t="s">
        <v>32</v>
      </c>
      <c r="B10" s="2" t="s">
        <v>34</v>
      </c>
    </row>
    <row r="11" ht="50" customHeight="1" spans="1:5" x14ac:dyDescent="0.25">
      <c r="A11" s="2" t="s">
        <v>35</v>
      </c>
      <c r="B11" s="2" t="s">
        <v>37</v>
      </c>
    </row>
    <row r="12" ht="50" customHeight="1" spans="1:5" x14ac:dyDescent="0.25">
      <c r="A12" s="2" t="s">
        <v>38</v>
      </c>
      <c r="B12" s="2" t="s">
        <v>40</v>
      </c>
    </row>
    <row r="13" ht="50" customHeight="1" spans="1:5" x14ac:dyDescent="0.25">
      <c r="A13" s="2" t="s">
        <v>41</v>
      </c>
      <c r="B13" s="2" t="s">
        <v>43</v>
      </c>
    </row>
    <row r="14" ht="50" customHeight="1" spans="1:5" x14ac:dyDescent="0.25">
      <c r="A14" s="2" t="s">
        <v>44</v>
      </c>
      <c r="B14" s="2" t="s">
        <v>46</v>
      </c>
    </row>
    <row r="15" ht="50" customHeight="1" spans="1:5" x14ac:dyDescent="0.25">
      <c r="A15" s="2" t="s">
        <v>47</v>
      </c>
      <c r="B15" s="2" t="s">
        <v>49</v>
      </c>
    </row>
    <row r="17" spans="1:5" x14ac:dyDescent="0.25">
      <c r="A17" s="5" t="s">
        <v>50</v>
      </c>
      <c r="B17" s="5" t="s">
        <v>51</v>
      </c>
      <c r="C17" s="5"/>
      <c r="D17" s="5"/>
      <c r="E17" s="5"/>
    </row>
    <row r="18" spans="1:5" x14ac:dyDescent="0.25">
      <c r="A18" s="7" t="s">
        <v>20</v>
      </c>
      <c r="B18" s="7" t="s">
        <v>21</v>
      </c>
      <c r="C18" s="7" t="s">
        <v>92</v>
      </c>
      <c r="D18" s="7" t="s">
        <v>92</v>
      </c>
      <c r="E18" s="7" t="s">
        <v>93</v>
      </c>
    </row>
    <row r="19" ht="50" customHeight="1" spans="1:5" x14ac:dyDescent="0.25">
      <c r="A19" s="2" t="s">
        <v>52</v>
      </c>
      <c r="B19" s="2" t="s">
        <v>54</v>
      </c>
    </row>
    <row r="20" ht="50" customHeight="1" spans="1:5" x14ac:dyDescent="0.25">
      <c r="A20" s="2" t="s">
        <v>55</v>
      </c>
      <c r="B20" s="2" t="s">
        <v>57</v>
      </c>
    </row>
    <row r="21" ht="50" customHeight="1" spans="1:5" x14ac:dyDescent="0.25">
      <c r="A21" s="2" t="s">
        <v>58</v>
      </c>
      <c r="B21" s="2" t="s">
        <v>60</v>
      </c>
    </row>
    <row r="23" spans="1:5" x14ac:dyDescent="0.25">
      <c r="A23" s="5" t="s">
        <v>61</v>
      </c>
      <c r="B23" s="5" t="s">
        <v>62</v>
      </c>
      <c r="C23" s="5"/>
      <c r="D23" s="5"/>
      <c r="E23" s="5"/>
    </row>
    <row r="24" spans="1:5" x14ac:dyDescent="0.25">
      <c r="A24" s="7" t="s">
        <v>20</v>
      </c>
      <c r="B24" s="7" t="s">
        <v>21</v>
      </c>
      <c r="C24" s="7" t="s">
        <v>92</v>
      </c>
      <c r="D24" s="7" t="s">
        <v>92</v>
      </c>
      <c r="E24" s="7" t="s">
        <v>93</v>
      </c>
    </row>
    <row r="25" ht="50" customHeight="1" spans="1:5" x14ac:dyDescent="0.25">
      <c r="A25" s="2" t="s">
        <v>63</v>
      </c>
      <c r="B25" s="2" t="s">
        <v>65</v>
      </c>
    </row>
    <row r="26" ht="50" customHeight="1" spans="1:5" x14ac:dyDescent="0.25">
      <c r="A26" s="2" t="s">
        <v>66</v>
      </c>
      <c r="B26" s="2" t="s">
        <v>68</v>
      </c>
    </row>
    <row r="27" ht="50" customHeight="1" spans="1:5" x14ac:dyDescent="0.25">
      <c r="A27" s="2" t="s">
        <v>69</v>
      </c>
      <c r="B27" s="2" t="s">
        <v>71</v>
      </c>
    </row>
    <row r="29" spans="1:5" x14ac:dyDescent="0.25">
      <c r="A29" s="5" t="s">
        <v>72</v>
      </c>
      <c r="B29" s="5" t="s">
        <v>73</v>
      </c>
      <c r="C29" s="5"/>
      <c r="D29" s="5"/>
      <c r="E29" s="5"/>
    </row>
    <row r="30" spans="1:5" x14ac:dyDescent="0.25">
      <c r="A30" s="7" t="s">
        <v>20</v>
      </c>
      <c r="B30" s="7" t="s">
        <v>21</v>
      </c>
      <c r="C30" s="7" t="s">
        <v>92</v>
      </c>
      <c r="D30" s="7" t="s">
        <v>92</v>
      </c>
      <c r="E30" s="7" t="s">
        <v>93</v>
      </c>
    </row>
    <row r="31" ht="50" customHeight="1" spans="1:5" x14ac:dyDescent="0.25">
      <c r="A31" s="2" t="s">
        <v>74</v>
      </c>
      <c r="B31" s="2" t="s">
        <v>76</v>
      </c>
    </row>
    <row r="32" ht="50" customHeight="1" spans="1:5" x14ac:dyDescent="0.25">
      <c r="A32" s="2" t="s">
        <v>77</v>
      </c>
      <c r="B32" s="2" t="s">
        <v>79</v>
      </c>
    </row>
    <row r="34" spans="1:5" x14ac:dyDescent="0.25">
      <c r="A34" s="9" t="s">
        <v>80</v>
      </c>
      <c r="B34" s="9" t="s">
        <v>81</v>
      </c>
      <c r="C34" s="9"/>
      <c r="D34" s="9"/>
      <c r="E34" s="9"/>
    </row>
    <row r="35" spans="1:5" x14ac:dyDescent="0.25">
      <c r="A35" s="10" t="s">
        <v>20</v>
      </c>
      <c r="B35" s="10" t="s">
        <v>21</v>
      </c>
      <c r="C35" s="10" t="s">
        <v>92</v>
      </c>
      <c r="D35" s="10" t="s">
        <v>92</v>
      </c>
      <c r="E35" s="10" t="s">
        <v>93</v>
      </c>
    </row>
    <row r="36" ht="50" customHeight="1" spans="1:5" x14ac:dyDescent="0.25">
      <c r="A36" s="2" t="s">
        <v>82</v>
      </c>
      <c r="B36" s="2" t="s">
        <v>19</v>
      </c>
    </row>
    <row r="37" ht="50" customHeight="1" spans="1:5" x14ac:dyDescent="0.25">
      <c r="A37" s="2" t="s">
        <v>84</v>
      </c>
      <c r="B37" s="2" t="s">
        <v>19</v>
      </c>
    </row>
    <row r="39" spans="1:5" x14ac:dyDescent="0.25">
      <c r="A39" s="9" t="s">
        <v>85</v>
      </c>
      <c r="B39" s="9" t="s">
        <v>86</v>
      </c>
      <c r="C39" s="9"/>
      <c r="D39" s="9"/>
      <c r="E39" s="9"/>
    </row>
    <row r="40" spans="1:5" x14ac:dyDescent="0.25">
      <c r="A40" s="10" t="s">
        <v>20</v>
      </c>
      <c r="B40" s="10" t="s">
        <v>21</v>
      </c>
      <c r="C40" s="10" t="s">
        <v>92</v>
      </c>
      <c r="D40" s="10" t="s">
        <v>92</v>
      </c>
      <c r="E40" s="10" t="s">
        <v>93</v>
      </c>
    </row>
    <row r="41" ht="50" customHeight="1" spans="1:5" x14ac:dyDescent="0.25">
      <c r="A41" s="2" t="s">
        <v>87</v>
      </c>
      <c r="B41" s="2" t="s">
        <v>19</v>
      </c>
    </row>
    <row r="42" ht="50" customHeight="1" spans="1:5" x14ac:dyDescent="0.25">
      <c r="A42" s="2" t="s">
        <v>88</v>
      </c>
      <c r="B42" s="2" t="s">
        <v>19</v>
      </c>
    </row>
  </sheetData>
  <mergeCells count="7">
    <mergeCell ref="A1:C1"/>
    <mergeCell ref="B7:E7"/>
    <mergeCell ref="B17:E17"/>
    <mergeCell ref="B23:E23"/>
    <mergeCell ref="B29:E29"/>
    <mergeCell ref="B34:E34"/>
    <mergeCell ref="B39:E3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Member Evaluations</vt:lpstr>
      <vt:lpstr>Monthly Check-In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DeliverX</dc:creator>
  <dc:title/>
  <dc:subject/>
  <dc:description/>
  <cp:keywords/>
  <cp:category/>
  <cp:lastModifiedBy>Unknown</cp:lastModifiedBy>
  <dcterms:created xsi:type="dcterms:W3CDTF">2026-05-21T03:04:14Z</dcterms:created>
  <dcterms:modified xsi:type="dcterms:W3CDTF">2026-05-21T03:04:14Z</dcterms:modified>
</cp:coreProperties>
</file>